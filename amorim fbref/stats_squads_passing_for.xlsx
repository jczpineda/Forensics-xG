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for" sheetId="1" r:id="rId5"/>
  </sheets>
  <definedNames>
    <definedName hidden="1" localSheetId="0" name="_xlnm._FilterDatabase">stats_squads_passing_for!$A$1:$AB$21</definedName>
  </definedNames>
  <calcPr/>
</workbook>
</file>

<file path=xl/sharedStrings.xml><?xml version="1.0" encoding="utf-8"?>
<sst xmlns="http://schemas.openxmlformats.org/spreadsheetml/2006/main" count="46" uniqueCount="46">
  <si>
    <t>Squad</t>
  </si>
  <si>
    <t># Pl</t>
  </si>
  <si>
    <t>90s</t>
  </si>
  <si>
    <t>Total_Cmp</t>
  </si>
  <si>
    <t>Total_Att</t>
  </si>
  <si>
    <t>Total_Cmp%</t>
  </si>
  <si>
    <t>Total_TotDist</t>
  </si>
  <si>
    <t>Total_PrgDist</t>
  </si>
  <si>
    <t>Short_Cmp</t>
  </si>
  <si>
    <t>Short_Att</t>
  </si>
  <si>
    <t>Short_Cmp%</t>
  </si>
  <si>
    <t>Medium_Cmp</t>
  </si>
  <si>
    <t>Medium_Att</t>
  </si>
  <si>
    <t>Medium_Cmp%</t>
  </si>
  <si>
    <t>Long_Cmp</t>
  </si>
  <si>
    <t>Long_Att</t>
  </si>
  <si>
    <t>Long_Cmp%</t>
  </si>
  <si>
    <t>Ast</t>
  </si>
  <si>
    <t>xAG</t>
  </si>
  <si>
    <t>Expected_xA</t>
  </si>
  <si>
    <t>Expected_A-xAG</t>
  </si>
  <si>
    <t>KP</t>
  </si>
  <si>
    <t>PPA</t>
  </si>
  <si>
    <t>CrsPA</t>
  </si>
  <si>
    <t>PrgP</t>
  </si>
  <si>
    <t>KP/90</t>
  </si>
  <si>
    <t>Liverpool</t>
  </si>
  <si>
    <t>Newcastle Utd</t>
  </si>
  <si>
    <t>Arsenal</t>
  </si>
  <si>
    <t>Manchester City</t>
  </si>
  <si>
    <t>Nott'ham Forest</t>
  </si>
  <si>
    <t>Manchester Utd</t>
  </si>
  <si>
    <t>Chelsea</t>
  </si>
  <si>
    <t>Bournemouth</t>
  </si>
  <si>
    <t>Fulham</t>
  </si>
  <si>
    <t>Brighton</t>
  </si>
  <si>
    <t>Aston Villa</t>
  </si>
  <si>
    <t>Tottenham</t>
  </si>
  <si>
    <t>Crystal Palace</t>
  </si>
  <si>
    <t>Everton</t>
  </si>
  <si>
    <t>Leeds United</t>
  </si>
  <si>
    <t>West Ham</t>
  </si>
  <si>
    <t>Sunderland</t>
  </si>
  <si>
    <t>Brentford</t>
  </si>
  <si>
    <t>Wolves</t>
  </si>
  <si>
    <t>Burnley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</si>
</sst>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88"/>
    <col customWidth="1" min="8" max="8" width="16.13"/>
    <col customWidth="1" min="28" max="2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>
        <v>46025.0</v>
      </c>
      <c r="X1" s="1" t="s">
        <v>22</v>
      </c>
      <c r="Y1" s="1" t="s">
        <v>23</v>
      </c>
      <c r="Z1" s="1" t="s">
        <v>24</v>
      </c>
      <c r="AA1" s="1" t="s">
        <v>25</v>
      </c>
      <c r="AB1" s="1"/>
    </row>
    <row r="2">
      <c r="A2" s="3" t="s">
        <v>26</v>
      </c>
      <c r="B2" s="3">
        <v>23.0</v>
      </c>
      <c r="C2" s="3">
        <v>20.0</v>
      </c>
      <c r="D2" s="3">
        <v>10052.0</v>
      </c>
      <c r="E2" s="3">
        <v>12005.0</v>
      </c>
      <c r="F2" s="3">
        <v>83.7</v>
      </c>
      <c r="G2" s="3">
        <v>169593.0</v>
      </c>
      <c r="H2" s="3">
        <v>55664.0</v>
      </c>
      <c r="I2" s="3">
        <v>4822.0</v>
      </c>
      <c r="J2" s="3">
        <v>5286.0</v>
      </c>
      <c r="K2" s="3">
        <v>91.2</v>
      </c>
      <c r="L2" s="3">
        <v>4284.0</v>
      </c>
      <c r="M2" s="3">
        <v>4810.0</v>
      </c>
      <c r="N2" s="3">
        <v>89.1</v>
      </c>
      <c r="O2" s="3">
        <v>736.0</v>
      </c>
      <c r="P2" s="3">
        <v>1376.0</v>
      </c>
      <c r="Q2" s="3">
        <v>53.5</v>
      </c>
      <c r="R2" s="3">
        <v>21.0</v>
      </c>
      <c r="S2" s="3">
        <v>24.4</v>
      </c>
      <c r="T2" s="3">
        <v>21.1</v>
      </c>
      <c r="U2" s="3">
        <v>-3.4</v>
      </c>
      <c r="V2" s="3">
        <v>236.0</v>
      </c>
      <c r="W2" s="3">
        <v>963.0</v>
      </c>
      <c r="X2" s="3">
        <v>204.0</v>
      </c>
      <c r="Y2" s="3">
        <v>38.0</v>
      </c>
      <c r="Z2" s="3">
        <v>1066.0</v>
      </c>
      <c r="AA2" s="3">
        <f t="shared" ref="AA2:AA21" si="1">V2/C2</f>
        <v>11.8</v>
      </c>
      <c r="AB2" s="4">
        <f t="shared" ref="AB2:AB21" si="2">Z2/C2</f>
        <v>53.3</v>
      </c>
    </row>
    <row r="3">
      <c r="A3" s="3" t="s">
        <v>27</v>
      </c>
      <c r="B3" s="3">
        <v>24.0</v>
      </c>
      <c r="C3" s="3">
        <v>20.0</v>
      </c>
      <c r="D3" s="3">
        <v>8057.0</v>
      </c>
      <c r="E3" s="3">
        <v>10060.0</v>
      </c>
      <c r="F3" s="3">
        <v>80.1</v>
      </c>
      <c r="G3" s="3">
        <v>141395.0</v>
      </c>
      <c r="H3" s="3">
        <v>50409.0</v>
      </c>
      <c r="I3" s="3">
        <v>3657.0</v>
      </c>
      <c r="J3" s="3">
        <v>4114.0</v>
      </c>
      <c r="K3" s="3">
        <v>88.9</v>
      </c>
      <c r="L3" s="3">
        <v>3513.0</v>
      </c>
      <c r="M3" s="3">
        <v>4057.0</v>
      </c>
      <c r="N3" s="3">
        <v>86.6</v>
      </c>
      <c r="O3" s="3">
        <v>728.0</v>
      </c>
      <c r="P3" s="3">
        <v>1448.0</v>
      </c>
      <c r="Q3" s="3">
        <v>50.3</v>
      </c>
      <c r="R3" s="3">
        <v>14.0</v>
      </c>
      <c r="S3" s="3">
        <v>20.1</v>
      </c>
      <c r="T3" s="3">
        <v>19.0</v>
      </c>
      <c r="U3" s="3">
        <v>-6.1</v>
      </c>
      <c r="V3" s="3">
        <v>185.0</v>
      </c>
      <c r="W3" s="3">
        <v>699.0</v>
      </c>
      <c r="X3" s="3">
        <v>181.0</v>
      </c>
      <c r="Y3" s="3">
        <v>53.0</v>
      </c>
      <c r="Z3" s="3">
        <v>896.0</v>
      </c>
      <c r="AA3" s="3">
        <f t="shared" si="1"/>
        <v>9.25</v>
      </c>
      <c r="AB3" s="4">
        <f t="shared" si="2"/>
        <v>44.8</v>
      </c>
    </row>
    <row r="4">
      <c r="A4" s="3" t="s">
        <v>28</v>
      </c>
      <c r="B4" s="3">
        <v>24.0</v>
      </c>
      <c r="C4" s="3">
        <v>20.0</v>
      </c>
      <c r="D4" s="3">
        <v>8870.0</v>
      </c>
      <c r="E4" s="3">
        <v>10720.0</v>
      </c>
      <c r="F4" s="3">
        <v>82.7</v>
      </c>
      <c r="G4" s="3">
        <v>153797.0</v>
      </c>
      <c r="H4" s="3">
        <v>47560.0</v>
      </c>
      <c r="I4" s="3">
        <v>3926.0</v>
      </c>
      <c r="J4" s="3">
        <v>4371.0</v>
      </c>
      <c r="K4" s="3">
        <v>89.8</v>
      </c>
      <c r="L4" s="3">
        <v>4156.0</v>
      </c>
      <c r="M4" s="3">
        <v>4661.0</v>
      </c>
      <c r="N4" s="3">
        <v>89.2</v>
      </c>
      <c r="O4" s="3">
        <v>633.0</v>
      </c>
      <c r="P4" s="3">
        <v>1244.0</v>
      </c>
      <c r="Q4" s="3">
        <v>50.9</v>
      </c>
      <c r="R4" s="3">
        <v>27.0</v>
      </c>
      <c r="S4" s="3">
        <v>23.4</v>
      </c>
      <c r="T4" s="3">
        <v>22.2</v>
      </c>
      <c r="U4" s="3">
        <v>3.6</v>
      </c>
      <c r="V4" s="3">
        <v>214.0</v>
      </c>
      <c r="W4" s="3">
        <v>734.0</v>
      </c>
      <c r="X4" s="3">
        <v>198.0</v>
      </c>
      <c r="Y4" s="3">
        <v>31.0</v>
      </c>
      <c r="Z4" s="3">
        <v>888.0</v>
      </c>
      <c r="AA4" s="3">
        <f t="shared" si="1"/>
        <v>10.7</v>
      </c>
      <c r="AB4" s="4">
        <f t="shared" si="2"/>
        <v>44.4</v>
      </c>
    </row>
    <row r="5">
      <c r="A5" s="3" t="s">
        <v>29</v>
      </c>
      <c r="B5" s="3">
        <v>24.0</v>
      </c>
      <c r="C5" s="3">
        <v>20.0</v>
      </c>
      <c r="D5" s="3">
        <v>10483.0</v>
      </c>
      <c r="E5" s="3">
        <v>12140.0</v>
      </c>
      <c r="F5" s="3">
        <v>86.4</v>
      </c>
      <c r="G5" s="3">
        <v>162911.0</v>
      </c>
      <c r="H5" s="3">
        <v>49010.0</v>
      </c>
      <c r="I5" s="3">
        <v>5616.0</v>
      </c>
      <c r="J5" s="3">
        <v>6059.0</v>
      </c>
      <c r="K5" s="3">
        <v>92.7</v>
      </c>
      <c r="L5" s="3">
        <v>3949.0</v>
      </c>
      <c r="M5" s="3">
        <v>4406.0</v>
      </c>
      <c r="N5" s="3">
        <v>89.6</v>
      </c>
      <c r="O5" s="3">
        <v>605.0</v>
      </c>
      <c r="P5" s="3">
        <v>1066.0</v>
      </c>
      <c r="Q5" s="3">
        <v>56.8</v>
      </c>
      <c r="R5" s="3">
        <v>33.0</v>
      </c>
      <c r="S5" s="3">
        <v>31.0</v>
      </c>
      <c r="T5" s="3">
        <v>26.9</v>
      </c>
      <c r="U5" s="3">
        <v>2.0</v>
      </c>
      <c r="V5" s="3">
        <v>222.0</v>
      </c>
      <c r="W5" s="3">
        <v>779.0</v>
      </c>
      <c r="X5" s="3">
        <v>191.0</v>
      </c>
      <c r="Y5" s="3">
        <v>34.0</v>
      </c>
      <c r="Z5" s="3">
        <v>855.0</v>
      </c>
      <c r="AA5" s="3">
        <f t="shared" si="1"/>
        <v>11.1</v>
      </c>
      <c r="AB5" s="4">
        <f t="shared" si="2"/>
        <v>42.75</v>
      </c>
    </row>
    <row r="6">
      <c r="A6" s="3" t="s">
        <v>30</v>
      </c>
      <c r="B6" s="3">
        <v>27.0</v>
      </c>
      <c r="C6" s="3">
        <v>20.0</v>
      </c>
      <c r="D6" s="3">
        <v>7724.0</v>
      </c>
      <c r="E6" s="3">
        <v>9691.0</v>
      </c>
      <c r="F6" s="3">
        <v>79.7</v>
      </c>
      <c r="G6" s="3">
        <v>134443.0</v>
      </c>
      <c r="H6" s="3">
        <v>47619.0</v>
      </c>
      <c r="I6" s="3">
        <v>3656.0</v>
      </c>
      <c r="J6" s="3">
        <v>4059.0</v>
      </c>
      <c r="K6" s="3">
        <v>90.1</v>
      </c>
      <c r="L6" s="3">
        <v>3279.0</v>
      </c>
      <c r="M6" s="3">
        <v>3801.0</v>
      </c>
      <c r="N6" s="3">
        <v>86.3</v>
      </c>
      <c r="O6" s="3">
        <v>665.0</v>
      </c>
      <c r="P6" s="3">
        <v>1427.0</v>
      </c>
      <c r="Q6" s="3">
        <v>46.6</v>
      </c>
      <c r="R6" s="3">
        <v>12.0</v>
      </c>
      <c r="S6" s="3">
        <v>17.5</v>
      </c>
      <c r="T6" s="3">
        <v>17.0</v>
      </c>
      <c r="U6" s="3">
        <v>-5.5</v>
      </c>
      <c r="V6" s="3">
        <v>180.0</v>
      </c>
      <c r="W6" s="3">
        <v>689.0</v>
      </c>
      <c r="X6" s="3">
        <v>179.0</v>
      </c>
      <c r="Y6" s="3">
        <v>57.0</v>
      </c>
      <c r="Z6" s="3">
        <v>836.0</v>
      </c>
      <c r="AA6" s="3">
        <f t="shared" si="1"/>
        <v>9</v>
      </c>
      <c r="AB6" s="4">
        <f t="shared" si="2"/>
        <v>41.8</v>
      </c>
    </row>
    <row r="7">
      <c r="A7" s="3" t="s">
        <v>31</v>
      </c>
      <c r="B7" s="3">
        <v>26.0</v>
      </c>
      <c r="C7" s="3">
        <v>20.0</v>
      </c>
      <c r="D7" s="3">
        <v>7964.0</v>
      </c>
      <c r="E7" s="3">
        <v>10034.0</v>
      </c>
      <c r="F7" s="3">
        <v>79.4</v>
      </c>
      <c r="G7" s="3">
        <v>137565.0</v>
      </c>
      <c r="H7" s="3">
        <v>48907.0</v>
      </c>
      <c r="I7" s="3">
        <v>3742.0</v>
      </c>
      <c r="J7" s="3">
        <v>4233.0</v>
      </c>
      <c r="K7" s="3">
        <v>88.4</v>
      </c>
      <c r="L7" s="3">
        <v>3293.0</v>
      </c>
      <c r="M7" s="3">
        <v>3868.0</v>
      </c>
      <c r="N7" s="3">
        <v>85.1</v>
      </c>
      <c r="O7" s="3">
        <v>715.0</v>
      </c>
      <c r="P7" s="3">
        <v>1402.0</v>
      </c>
      <c r="Q7" s="3">
        <v>51.0</v>
      </c>
      <c r="R7" s="3">
        <v>21.0</v>
      </c>
      <c r="S7" s="3">
        <v>23.6</v>
      </c>
      <c r="T7" s="3">
        <v>21.1</v>
      </c>
      <c r="U7" s="3">
        <v>-2.6</v>
      </c>
      <c r="V7" s="3">
        <v>238.0</v>
      </c>
      <c r="W7" s="3">
        <v>657.0</v>
      </c>
      <c r="X7" s="3">
        <v>179.0</v>
      </c>
      <c r="Y7" s="3">
        <v>49.0</v>
      </c>
      <c r="Z7" s="3">
        <v>817.0</v>
      </c>
      <c r="AA7" s="3">
        <f t="shared" si="1"/>
        <v>11.9</v>
      </c>
      <c r="AB7" s="4">
        <f t="shared" si="2"/>
        <v>40.85</v>
      </c>
    </row>
    <row r="8">
      <c r="A8" s="3" t="s">
        <v>32</v>
      </c>
      <c r="B8" s="3">
        <v>25.0</v>
      </c>
      <c r="C8" s="3">
        <v>20.0</v>
      </c>
      <c r="D8" s="3">
        <v>9393.0</v>
      </c>
      <c r="E8" s="3">
        <v>11165.0</v>
      </c>
      <c r="F8" s="3">
        <v>84.1</v>
      </c>
      <c r="G8" s="3">
        <v>160927.0</v>
      </c>
      <c r="H8" s="3">
        <v>51810.0</v>
      </c>
      <c r="I8" s="3">
        <v>4360.0</v>
      </c>
      <c r="J8" s="3">
        <v>4743.0</v>
      </c>
      <c r="K8" s="3">
        <v>91.9</v>
      </c>
      <c r="L8" s="3">
        <v>4221.0</v>
      </c>
      <c r="M8" s="3">
        <v>4673.0</v>
      </c>
      <c r="N8" s="3">
        <v>90.3</v>
      </c>
      <c r="O8" s="3">
        <v>660.0</v>
      </c>
      <c r="P8" s="3">
        <v>1308.0</v>
      </c>
      <c r="Q8" s="3">
        <v>50.5</v>
      </c>
      <c r="R8" s="3">
        <v>24.0</v>
      </c>
      <c r="S8" s="3">
        <v>26.4</v>
      </c>
      <c r="T8" s="3">
        <v>22.8</v>
      </c>
      <c r="U8" s="3">
        <v>-2.4</v>
      </c>
      <c r="V8" s="3">
        <v>208.0</v>
      </c>
      <c r="W8" s="3">
        <v>700.0</v>
      </c>
      <c r="X8" s="3">
        <v>169.0</v>
      </c>
      <c r="Y8" s="3">
        <v>32.0</v>
      </c>
      <c r="Z8" s="3">
        <v>814.0</v>
      </c>
      <c r="AA8" s="3">
        <f t="shared" si="1"/>
        <v>10.4</v>
      </c>
      <c r="AB8" s="4">
        <f t="shared" si="2"/>
        <v>40.7</v>
      </c>
    </row>
    <row r="9">
      <c r="A9" s="3" t="s">
        <v>33</v>
      </c>
      <c r="B9" s="3">
        <v>24.0</v>
      </c>
      <c r="C9" s="3">
        <v>20.0</v>
      </c>
      <c r="D9" s="3">
        <v>7130.0</v>
      </c>
      <c r="E9" s="3">
        <v>9256.0</v>
      </c>
      <c r="F9" s="3">
        <v>77.0</v>
      </c>
      <c r="G9" s="3">
        <v>125388.0</v>
      </c>
      <c r="H9" s="3">
        <v>44451.0</v>
      </c>
      <c r="I9" s="3">
        <v>3190.0</v>
      </c>
      <c r="J9" s="3">
        <v>3627.0</v>
      </c>
      <c r="K9" s="3">
        <v>88.0</v>
      </c>
      <c r="L9" s="3">
        <v>3091.0</v>
      </c>
      <c r="M9" s="3">
        <v>3629.0</v>
      </c>
      <c r="N9" s="3">
        <v>85.2</v>
      </c>
      <c r="O9" s="3">
        <v>675.0</v>
      </c>
      <c r="P9" s="3">
        <v>1486.0</v>
      </c>
      <c r="Q9" s="3">
        <v>45.4</v>
      </c>
      <c r="R9" s="3">
        <v>15.0</v>
      </c>
      <c r="S9" s="3">
        <v>17.7</v>
      </c>
      <c r="T9" s="3">
        <v>16.3</v>
      </c>
      <c r="U9" s="3">
        <v>-2.7</v>
      </c>
      <c r="V9" s="3">
        <v>187.0</v>
      </c>
      <c r="W9" s="3">
        <v>667.0</v>
      </c>
      <c r="X9" s="3">
        <v>175.0</v>
      </c>
      <c r="Y9" s="3">
        <v>51.0</v>
      </c>
      <c r="Z9" s="3">
        <v>772.0</v>
      </c>
      <c r="AA9" s="3">
        <f t="shared" si="1"/>
        <v>9.35</v>
      </c>
      <c r="AB9" s="4">
        <f t="shared" si="2"/>
        <v>38.6</v>
      </c>
    </row>
    <row r="10">
      <c r="A10" s="3" t="s">
        <v>34</v>
      </c>
      <c r="B10" s="3">
        <v>23.0</v>
      </c>
      <c r="C10" s="3">
        <v>20.0</v>
      </c>
      <c r="D10" s="3">
        <v>8335.0</v>
      </c>
      <c r="E10" s="3">
        <v>10252.0</v>
      </c>
      <c r="F10" s="3">
        <v>81.3</v>
      </c>
      <c r="G10" s="3">
        <v>147410.0</v>
      </c>
      <c r="H10" s="3">
        <v>49518.0</v>
      </c>
      <c r="I10" s="3">
        <v>3608.0</v>
      </c>
      <c r="J10" s="3">
        <v>4022.0</v>
      </c>
      <c r="K10" s="3">
        <v>89.7</v>
      </c>
      <c r="L10" s="3">
        <v>3827.0</v>
      </c>
      <c r="M10" s="3">
        <v>4324.0</v>
      </c>
      <c r="N10" s="3">
        <v>88.5</v>
      </c>
      <c r="O10" s="3">
        <v>741.0</v>
      </c>
      <c r="P10" s="3">
        <v>1409.0</v>
      </c>
      <c r="Q10" s="3">
        <v>52.6</v>
      </c>
      <c r="R10" s="3">
        <v>18.0</v>
      </c>
      <c r="S10" s="3">
        <v>16.4</v>
      </c>
      <c r="T10" s="3">
        <v>16.9</v>
      </c>
      <c r="U10" s="3">
        <v>1.6</v>
      </c>
      <c r="V10" s="3">
        <v>176.0</v>
      </c>
      <c r="W10" s="3">
        <v>611.0</v>
      </c>
      <c r="X10" s="3">
        <v>168.0</v>
      </c>
      <c r="Y10" s="3">
        <v>48.0</v>
      </c>
      <c r="Z10" s="3">
        <v>757.0</v>
      </c>
      <c r="AA10" s="3">
        <f t="shared" si="1"/>
        <v>8.8</v>
      </c>
      <c r="AB10" s="4">
        <f t="shared" si="2"/>
        <v>37.85</v>
      </c>
    </row>
    <row r="11">
      <c r="A11" s="3" t="s">
        <v>35</v>
      </c>
      <c r="B11" s="3">
        <v>26.0</v>
      </c>
      <c r="C11" s="3">
        <v>20.0</v>
      </c>
      <c r="D11" s="3">
        <v>8332.0</v>
      </c>
      <c r="E11" s="3">
        <v>10113.0</v>
      </c>
      <c r="F11" s="3">
        <v>82.4</v>
      </c>
      <c r="G11" s="3">
        <v>144431.0</v>
      </c>
      <c r="H11" s="3">
        <v>49092.0</v>
      </c>
      <c r="I11" s="3">
        <v>3785.0</v>
      </c>
      <c r="J11" s="3">
        <v>4194.0</v>
      </c>
      <c r="K11" s="3">
        <v>90.2</v>
      </c>
      <c r="L11" s="3">
        <v>3661.0</v>
      </c>
      <c r="M11" s="3">
        <v>4134.0</v>
      </c>
      <c r="N11" s="3">
        <v>88.6</v>
      </c>
      <c r="O11" s="3">
        <v>689.0</v>
      </c>
      <c r="P11" s="3">
        <v>1272.0</v>
      </c>
      <c r="Q11" s="3">
        <v>54.2</v>
      </c>
      <c r="R11" s="3">
        <v>16.0</v>
      </c>
      <c r="S11" s="3">
        <v>20.7</v>
      </c>
      <c r="T11" s="3">
        <v>16.5</v>
      </c>
      <c r="U11" s="3">
        <v>-4.7</v>
      </c>
      <c r="V11" s="3">
        <v>192.0</v>
      </c>
      <c r="W11" s="3">
        <v>641.0</v>
      </c>
      <c r="X11" s="3">
        <v>142.0</v>
      </c>
      <c r="Y11" s="3">
        <v>49.0</v>
      </c>
      <c r="Z11" s="3">
        <v>749.0</v>
      </c>
      <c r="AA11" s="3">
        <f t="shared" si="1"/>
        <v>9.6</v>
      </c>
      <c r="AB11" s="4">
        <f t="shared" si="2"/>
        <v>37.45</v>
      </c>
    </row>
    <row r="12">
      <c r="A12" s="3" t="s">
        <v>36</v>
      </c>
      <c r="B12" s="3">
        <v>26.0</v>
      </c>
      <c r="C12" s="3">
        <v>20.0</v>
      </c>
      <c r="D12" s="3">
        <v>7809.0</v>
      </c>
      <c r="E12" s="3">
        <v>9477.0</v>
      </c>
      <c r="F12" s="3">
        <v>82.4</v>
      </c>
      <c r="G12" s="3">
        <v>134244.0</v>
      </c>
      <c r="H12" s="3">
        <v>46678.0</v>
      </c>
      <c r="I12" s="3">
        <v>3548.0</v>
      </c>
      <c r="J12" s="3">
        <v>3903.0</v>
      </c>
      <c r="K12" s="3">
        <v>90.9</v>
      </c>
      <c r="L12" s="3">
        <v>3402.0</v>
      </c>
      <c r="M12" s="3">
        <v>3852.0</v>
      </c>
      <c r="N12" s="3">
        <v>88.3</v>
      </c>
      <c r="O12" s="3">
        <v>635.0</v>
      </c>
      <c r="P12" s="3">
        <v>1229.0</v>
      </c>
      <c r="Q12" s="3">
        <v>51.7</v>
      </c>
      <c r="R12" s="3">
        <v>24.0</v>
      </c>
      <c r="S12" s="3">
        <v>17.5</v>
      </c>
      <c r="T12" s="3">
        <v>15.1</v>
      </c>
      <c r="U12" s="3">
        <v>6.5</v>
      </c>
      <c r="V12" s="3">
        <v>171.0</v>
      </c>
      <c r="W12" s="3">
        <v>561.0</v>
      </c>
      <c r="X12" s="3">
        <v>159.0</v>
      </c>
      <c r="Y12" s="3">
        <v>27.0</v>
      </c>
      <c r="Z12" s="3">
        <v>695.0</v>
      </c>
      <c r="AA12" s="3">
        <f t="shared" si="1"/>
        <v>8.55</v>
      </c>
      <c r="AB12" s="4">
        <f t="shared" si="2"/>
        <v>34.75</v>
      </c>
    </row>
    <row r="13">
      <c r="A13" s="3" t="s">
        <v>37</v>
      </c>
      <c r="B13" s="3">
        <v>23.0</v>
      </c>
      <c r="C13" s="3">
        <v>20.0</v>
      </c>
      <c r="D13" s="3">
        <v>7238.0</v>
      </c>
      <c r="E13" s="3">
        <v>9217.0</v>
      </c>
      <c r="F13" s="3">
        <v>78.5</v>
      </c>
      <c r="G13" s="3">
        <v>131810.0</v>
      </c>
      <c r="H13" s="3">
        <v>45414.0</v>
      </c>
      <c r="I13" s="3">
        <v>3025.0</v>
      </c>
      <c r="J13" s="3">
        <v>3405.0</v>
      </c>
      <c r="K13" s="3">
        <v>88.8</v>
      </c>
      <c r="L13" s="3">
        <v>3393.0</v>
      </c>
      <c r="M13" s="3">
        <v>3902.0</v>
      </c>
      <c r="N13" s="3">
        <v>87.0</v>
      </c>
      <c r="O13" s="3">
        <v>694.0</v>
      </c>
      <c r="P13" s="3">
        <v>1476.0</v>
      </c>
      <c r="Q13" s="3">
        <v>47.0</v>
      </c>
      <c r="R13" s="3">
        <v>22.0</v>
      </c>
      <c r="S13" s="3">
        <v>14.7</v>
      </c>
      <c r="T13" s="3">
        <v>13.4</v>
      </c>
      <c r="U13" s="3">
        <v>7.3</v>
      </c>
      <c r="V13" s="3">
        <v>143.0</v>
      </c>
      <c r="W13" s="3">
        <v>577.0</v>
      </c>
      <c r="X13" s="3">
        <v>134.0</v>
      </c>
      <c r="Y13" s="3">
        <v>51.0</v>
      </c>
      <c r="Z13" s="3">
        <v>653.0</v>
      </c>
      <c r="AA13" s="3">
        <f t="shared" si="1"/>
        <v>7.15</v>
      </c>
      <c r="AB13" s="4">
        <f t="shared" si="2"/>
        <v>32.65</v>
      </c>
    </row>
    <row r="14">
      <c r="A14" s="3" t="s">
        <v>38</v>
      </c>
      <c r="B14" s="3">
        <v>25.0</v>
      </c>
      <c r="C14" s="3">
        <v>20.0</v>
      </c>
      <c r="D14" s="3">
        <v>6178.0</v>
      </c>
      <c r="E14" s="3">
        <v>8271.0</v>
      </c>
      <c r="F14" s="3">
        <v>74.7</v>
      </c>
      <c r="G14" s="3">
        <v>111734.0</v>
      </c>
      <c r="H14" s="3">
        <v>42397.0</v>
      </c>
      <c r="I14" s="3">
        <v>2637.0</v>
      </c>
      <c r="J14" s="3">
        <v>3100.0</v>
      </c>
      <c r="K14" s="3">
        <v>85.1</v>
      </c>
      <c r="L14" s="3">
        <v>2778.0</v>
      </c>
      <c r="M14" s="3">
        <v>3282.0</v>
      </c>
      <c r="N14" s="3">
        <v>84.6</v>
      </c>
      <c r="O14" s="3">
        <v>626.0</v>
      </c>
      <c r="P14" s="3">
        <v>1412.0</v>
      </c>
      <c r="Q14" s="3">
        <v>44.3</v>
      </c>
      <c r="R14" s="3">
        <v>12.0</v>
      </c>
      <c r="S14" s="3">
        <v>20.6</v>
      </c>
      <c r="T14" s="3">
        <v>19.6</v>
      </c>
      <c r="U14" s="3">
        <v>-8.6</v>
      </c>
      <c r="V14" s="3">
        <v>154.0</v>
      </c>
      <c r="W14" s="3">
        <v>475.0</v>
      </c>
      <c r="X14" s="3">
        <v>137.0</v>
      </c>
      <c r="Y14" s="3">
        <v>31.0</v>
      </c>
      <c r="Z14" s="3">
        <v>647.0</v>
      </c>
      <c r="AA14" s="3">
        <f t="shared" si="1"/>
        <v>7.7</v>
      </c>
      <c r="AB14" s="4">
        <f t="shared" si="2"/>
        <v>32.35</v>
      </c>
    </row>
    <row r="15">
      <c r="A15" s="3" t="s">
        <v>39</v>
      </c>
      <c r="B15" s="3">
        <v>20.0</v>
      </c>
      <c r="C15" s="3">
        <v>20.0</v>
      </c>
      <c r="D15" s="3">
        <v>6306.0</v>
      </c>
      <c r="E15" s="3">
        <v>8312.0</v>
      </c>
      <c r="F15" s="3">
        <v>75.9</v>
      </c>
      <c r="G15" s="3">
        <v>116577.0</v>
      </c>
      <c r="H15" s="3">
        <v>43131.0</v>
      </c>
      <c r="I15" s="3">
        <v>2722.0</v>
      </c>
      <c r="J15" s="3">
        <v>3122.0</v>
      </c>
      <c r="K15" s="3">
        <v>87.2</v>
      </c>
      <c r="L15" s="3">
        <v>2801.0</v>
      </c>
      <c r="M15" s="3">
        <v>3341.0</v>
      </c>
      <c r="N15" s="3">
        <v>83.8</v>
      </c>
      <c r="O15" s="3">
        <v>684.0</v>
      </c>
      <c r="P15" s="3">
        <v>1448.0</v>
      </c>
      <c r="Q15" s="3">
        <v>47.2</v>
      </c>
      <c r="R15" s="3">
        <v>18.0</v>
      </c>
      <c r="S15" s="3">
        <v>17.5</v>
      </c>
      <c r="T15" s="3">
        <v>16.9</v>
      </c>
      <c r="U15" s="3">
        <v>0.5</v>
      </c>
      <c r="V15" s="3">
        <v>163.0</v>
      </c>
      <c r="W15" s="3">
        <v>531.0</v>
      </c>
      <c r="X15" s="3">
        <v>149.0</v>
      </c>
      <c r="Y15" s="3">
        <v>45.0</v>
      </c>
      <c r="Z15" s="3">
        <v>633.0</v>
      </c>
      <c r="AA15" s="3">
        <f t="shared" si="1"/>
        <v>8.15</v>
      </c>
      <c r="AB15" s="4">
        <f t="shared" si="2"/>
        <v>31.65</v>
      </c>
    </row>
    <row r="16">
      <c r="A16" s="3" t="s">
        <v>40</v>
      </c>
      <c r="B16" s="3">
        <v>23.0</v>
      </c>
      <c r="C16" s="3">
        <v>20.0</v>
      </c>
      <c r="D16" s="3">
        <v>6962.0</v>
      </c>
      <c r="E16" s="3">
        <v>8983.0</v>
      </c>
      <c r="F16" s="3">
        <v>77.5</v>
      </c>
      <c r="G16" s="3">
        <v>124068.0</v>
      </c>
      <c r="H16" s="3">
        <v>44152.0</v>
      </c>
      <c r="I16" s="3">
        <v>2998.0</v>
      </c>
      <c r="J16" s="3">
        <v>3424.0</v>
      </c>
      <c r="K16" s="3">
        <v>87.6</v>
      </c>
      <c r="L16" s="3">
        <v>3108.0</v>
      </c>
      <c r="M16" s="3">
        <v>3600.0</v>
      </c>
      <c r="N16" s="3">
        <v>86.3</v>
      </c>
      <c r="O16" s="3">
        <v>650.0</v>
      </c>
      <c r="P16" s="3">
        <v>1415.0</v>
      </c>
      <c r="Q16" s="3">
        <v>45.9</v>
      </c>
      <c r="R16" s="3">
        <v>11.0</v>
      </c>
      <c r="S16" s="3">
        <v>16.8</v>
      </c>
      <c r="T16" s="3">
        <v>15.2</v>
      </c>
      <c r="U16" s="3">
        <v>-5.8</v>
      </c>
      <c r="V16" s="3">
        <v>167.0</v>
      </c>
      <c r="W16" s="3">
        <v>512.0</v>
      </c>
      <c r="X16" s="3">
        <v>125.0</v>
      </c>
      <c r="Y16" s="3">
        <v>45.0</v>
      </c>
      <c r="Z16" s="3">
        <v>615.0</v>
      </c>
      <c r="AA16" s="3">
        <f t="shared" si="1"/>
        <v>8.35</v>
      </c>
      <c r="AB16" s="4">
        <f t="shared" si="2"/>
        <v>30.75</v>
      </c>
    </row>
    <row r="17">
      <c r="A17" s="3" t="s">
        <v>41</v>
      </c>
      <c r="B17" s="3">
        <v>28.0</v>
      </c>
      <c r="C17" s="3">
        <v>20.0</v>
      </c>
      <c r="D17" s="3">
        <v>6588.0</v>
      </c>
      <c r="E17" s="3">
        <v>8457.0</v>
      </c>
      <c r="F17" s="3">
        <v>77.9</v>
      </c>
      <c r="G17" s="3">
        <v>113678.0</v>
      </c>
      <c r="H17" s="3">
        <v>41252.0</v>
      </c>
      <c r="I17" s="3">
        <v>3142.0</v>
      </c>
      <c r="J17" s="3">
        <v>3516.0</v>
      </c>
      <c r="K17" s="3">
        <v>89.4</v>
      </c>
      <c r="L17" s="3">
        <v>2619.0</v>
      </c>
      <c r="M17" s="3">
        <v>3045.0</v>
      </c>
      <c r="N17" s="3">
        <v>86.0</v>
      </c>
      <c r="O17" s="3">
        <v>634.0</v>
      </c>
      <c r="P17" s="3">
        <v>1386.0</v>
      </c>
      <c r="Q17" s="3">
        <v>45.7</v>
      </c>
      <c r="R17" s="3">
        <v>11.0</v>
      </c>
      <c r="S17" s="3">
        <v>12.3</v>
      </c>
      <c r="T17" s="3">
        <v>11.2</v>
      </c>
      <c r="U17" s="3">
        <v>-1.3</v>
      </c>
      <c r="V17" s="3">
        <v>140.0</v>
      </c>
      <c r="W17" s="3">
        <v>499.0</v>
      </c>
      <c r="X17" s="3">
        <v>120.0</v>
      </c>
      <c r="Y17" s="3">
        <v>31.0</v>
      </c>
      <c r="Z17" s="3">
        <v>605.0</v>
      </c>
      <c r="AA17" s="3">
        <f t="shared" si="1"/>
        <v>7</v>
      </c>
      <c r="AB17" s="4">
        <f t="shared" si="2"/>
        <v>30.25</v>
      </c>
    </row>
    <row r="18">
      <c r="A18" s="3" t="s">
        <v>42</v>
      </c>
      <c r="B18" s="3">
        <v>26.0</v>
      </c>
      <c r="C18" s="3">
        <v>20.0</v>
      </c>
      <c r="D18" s="3">
        <v>6128.0</v>
      </c>
      <c r="E18" s="3">
        <v>8091.0</v>
      </c>
      <c r="F18" s="3">
        <v>75.7</v>
      </c>
      <c r="G18" s="3">
        <v>112113.0</v>
      </c>
      <c r="H18" s="3">
        <v>40777.0</v>
      </c>
      <c r="I18" s="3">
        <v>2585.0</v>
      </c>
      <c r="J18" s="3">
        <v>2972.0</v>
      </c>
      <c r="K18" s="3">
        <v>87.0</v>
      </c>
      <c r="L18" s="3">
        <v>2727.0</v>
      </c>
      <c r="M18" s="3">
        <v>3220.0</v>
      </c>
      <c r="N18" s="3">
        <v>84.7</v>
      </c>
      <c r="O18" s="3">
        <v>651.0</v>
      </c>
      <c r="P18" s="3">
        <v>1417.0</v>
      </c>
      <c r="Q18" s="3">
        <v>45.9</v>
      </c>
      <c r="R18" s="3">
        <v>14.0</v>
      </c>
      <c r="S18" s="3">
        <v>11.1</v>
      </c>
      <c r="T18" s="3">
        <v>10.8</v>
      </c>
      <c r="U18" s="3">
        <v>2.9</v>
      </c>
      <c r="V18" s="3">
        <v>135.0</v>
      </c>
      <c r="W18" s="3">
        <v>510.0</v>
      </c>
      <c r="X18" s="3">
        <v>128.0</v>
      </c>
      <c r="Y18" s="3">
        <v>31.0</v>
      </c>
      <c r="Z18" s="3">
        <v>593.0</v>
      </c>
      <c r="AA18" s="3">
        <f t="shared" si="1"/>
        <v>6.75</v>
      </c>
      <c r="AB18" s="4">
        <f t="shared" si="2"/>
        <v>29.65</v>
      </c>
    </row>
    <row r="19">
      <c r="A19" s="3" t="s">
        <v>43</v>
      </c>
      <c r="B19" s="3">
        <v>22.0</v>
      </c>
      <c r="C19" s="3">
        <v>20.0</v>
      </c>
      <c r="D19" s="3">
        <v>6446.0</v>
      </c>
      <c r="E19" s="3">
        <v>8484.0</v>
      </c>
      <c r="F19" s="3">
        <v>76.0</v>
      </c>
      <c r="G19" s="3">
        <v>117546.0</v>
      </c>
      <c r="H19" s="3">
        <v>44728.0</v>
      </c>
      <c r="I19" s="3">
        <v>2764.0</v>
      </c>
      <c r="J19" s="3">
        <v>3205.0</v>
      </c>
      <c r="K19" s="3">
        <v>86.2</v>
      </c>
      <c r="L19" s="3">
        <v>2806.0</v>
      </c>
      <c r="M19" s="3">
        <v>3339.0</v>
      </c>
      <c r="N19" s="3">
        <v>84.0</v>
      </c>
      <c r="O19" s="3">
        <v>718.0</v>
      </c>
      <c r="P19" s="3">
        <v>1521.0</v>
      </c>
      <c r="Q19" s="3">
        <v>47.2</v>
      </c>
      <c r="R19" s="3">
        <v>18.0</v>
      </c>
      <c r="S19" s="3">
        <v>19.8</v>
      </c>
      <c r="T19" s="3">
        <v>16.5</v>
      </c>
      <c r="U19" s="3">
        <v>-1.8</v>
      </c>
      <c r="V19" s="3">
        <v>137.0</v>
      </c>
      <c r="W19" s="3">
        <v>472.0</v>
      </c>
      <c r="X19" s="3">
        <v>130.0</v>
      </c>
      <c r="Y19" s="3">
        <v>36.0</v>
      </c>
      <c r="Z19" s="3">
        <v>576.0</v>
      </c>
      <c r="AA19" s="3">
        <f t="shared" si="1"/>
        <v>6.85</v>
      </c>
      <c r="AB19" s="4">
        <f t="shared" si="2"/>
        <v>28.8</v>
      </c>
    </row>
    <row r="20">
      <c r="A20" s="3" t="s">
        <v>44</v>
      </c>
      <c r="B20" s="3">
        <v>25.0</v>
      </c>
      <c r="C20" s="3">
        <v>20.0</v>
      </c>
      <c r="D20" s="3">
        <v>6597.0</v>
      </c>
      <c r="E20" s="3">
        <v>8509.0</v>
      </c>
      <c r="F20" s="3">
        <v>77.5</v>
      </c>
      <c r="G20" s="3">
        <v>122687.0</v>
      </c>
      <c r="H20" s="3">
        <v>44506.0</v>
      </c>
      <c r="I20" s="3">
        <v>2762.0</v>
      </c>
      <c r="J20" s="3">
        <v>3216.0</v>
      </c>
      <c r="K20" s="3">
        <v>85.9</v>
      </c>
      <c r="L20" s="3">
        <v>2983.0</v>
      </c>
      <c r="M20" s="3">
        <v>3468.0</v>
      </c>
      <c r="N20" s="3">
        <v>86.0</v>
      </c>
      <c r="O20" s="3">
        <v>710.0</v>
      </c>
      <c r="P20" s="3">
        <v>1444.0</v>
      </c>
      <c r="Q20" s="3">
        <v>49.2</v>
      </c>
      <c r="R20" s="3">
        <v>8.0</v>
      </c>
      <c r="S20" s="3">
        <v>11.5</v>
      </c>
      <c r="T20" s="3">
        <v>12.0</v>
      </c>
      <c r="U20" s="3">
        <v>-3.5</v>
      </c>
      <c r="V20" s="3">
        <v>126.0</v>
      </c>
      <c r="W20" s="3">
        <v>533.0</v>
      </c>
      <c r="X20" s="3">
        <v>141.0</v>
      </c>
      <c r="Y20" s="3">
        <v>70.0</v>
      </c>
      <c r="Z20" s="3">
        <v>553.0</v>
      </c>
      <c r="AA20" s="3">
        <f t="shared" si="1"/>
        <v>6.3</v>
      </c>
      <c r="AB20" s="4">
        <f t="shared" si="2"/>
        <v>27.65</v>
      </c>
    </row>
    <row r="21">
      <c r="A21" s="3" t="s">
        <v>45</v>
      </c>
      <c r="B21" s="3">
        <v>25.0</v>
      </c>
      <c r="C21" s="3">
        <v>20.0</v>
      </c>
      <c r="D21" s="3">
        <v>6267.0</v>
      </c>
      <c r="E21" s="3">
        <v>8311.0</v>
      </c>
      <c r="F21" s="3">
        <v>75.4</v>
      </c>
      <c r="G21" s="3">
        <v>109165.0</v>
      </c>
      <c r="H21" s="3">
        <v>40764.0</v>
      </c>
      <c r="I21" s="3">
        <v>3027.0</v>
      </c>
      <c r="J21" s="3">
        <v>3441.0</v>
      </c>
      <c r="K21" s="3">
        <v>88.0</v>
      </c>
      <c r="L21" s="3">
        <v>2478.0</v>
      </c>
      <c r="M21" s="3">
        <v>2991.0</v>
      </c>
      <c r="N21" s="3">
        <v>82.8</v>
      </c>
      <c r="O21" s="3">
        <v>583.0</v>
      </c>
      <c r="P21" s="3">
        <v>1378.0</v>
      </c>
      <c r="Q21" s="3">
        <v>42.3</v>
      </c>
      <c r="R21" s="3">
        <v>14.0</v>
      </c>
      <c r="S21" s="3">
        <v>12.4</v>
      </c>
      <c r="T21" s="3">
        <v>11.3</v>
      </c>
      <c r="U21" s="3">
        <v>1.6</v>
      </c>
      <c r="V21" s="3">
        <v>127.0</v>
      </c>
      <c r="W21" s="3">
        <v>492.0</v>
      </c>
      <c r="X21" s="3">
        <v>110.0</v>
      </c>
      <c r="Y21" s="3">
        <v>30.0</v>
      </c>
      <c r="Z21" s="3">
        <v>515.0</v>
      </c>
      <c r="AA21" s="3">
        <f t="shared" si="1"/>
        <v>6.35</v>
      </c>
      <c r="AB21" s="4">
        <f t="shared" si="2"/>
        <v>25.75</v>
      </c>
    </row>
  </sheetData>
  <autoFilter ref="$A$1:$AB$21">
    <sortState ref="A1:AB21">
      <sortCondition descending="1" ref="AB1:AB21"/>
    </sortState>
  </autoFilter>
  <drawing r:id="rId1"/>
</worksheet>
</file>